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mar19708902-my.sharepoint.com/personal/sger_1_xww_mom/Documents/文档/"/>
    </mc:Choice>
  </mc:AlternateContent>
  <xr:revisionPtr revIDLastSave="11" documentId="13_ncr:1_{7A4F344B-3AE3-4C24-B45C-0E66F565F997}" xr6:coauthVersionLast="47" xr6:coauthVersionMax="47" xr10:uidLastSave="{70536088-D5DC-4A60-AE01-9A4791AD3AEC}"/>
  <bookViews>
    <workbookView xWindow="7050" yWindow="2835" windowWidth="19515" windowHeight="113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J14" i="1"/>
  <c r="J9" i="1"/>
  <c r="I13" i="1"/>
  <c r="I9" i="1"/>
  <c r="I14" i="1" l="1"/>
  <c r="H13" i="1"/>
  <c r="H14" i="1" s="1"/>
  <c r="H9" i="1"/>
  <c r="G13" i="1" l="1"/>
  <c r="G14" i="1" s="1"/>
  <c r="G9" i="1"/>
  <c r="F13" i="1" l="1"/>
  <c r="F9" i="1"/>
  <c r="F14" i="1" l="1"/>
  <c r="E13" i="1"/>
  <c r="E9" i="1"/>
  <c r="B13" i="1"/>
  <c r="B4" i="1"/>
  <c r="B6" i="1"/>
  <c r="B9" i="1"/>
  <c r="B14" i="1"/>
  <c r="C13" i="1"/>
  <c r="C14" i="1" s="1"/>
  <c r="C9" i="1"/>
  <c r="D13" i="1"/>
  <c r="D14" i="1" s="1"/>
  <c r="D9" i="1"/>
  <c r="E14" i="1" l="1"/>
  <c r="B16" i="1" s="1"/>
</calcChain>
</file>

<file path=xl/sharedStrings.xml><?xml version="1.0" encoding="utf-8"?>
<sst xmlns="http://schemas.openxmlformats.org/spreadsheetml/2006/main" count="11" uniqueCount="11">
  <si>
    <t>公积金</t>
    <phoneticPr fontId="1" type="noConversion"/>
  </si>
  <si>
    <t>养老保险</t>
    <phoneticPr fontId="1" type="noConversion"/>
  </si>
  <si>
    <t>工伤</t>
    <phoneticPr fontId="1" type="noConversion"/>
  </si>
  <si>
    <t>失业</t>
    <phoneticPr fontId="1" type="noConversion"/>
  </si>
  <si>
    <t>医保</t>
    <phoneticPr fontId="1" type="noConversion"/>
  </si>
  <si>
    <t>个人所得税</t>
    <phoneticPr fontId="1" type="noConversion"/>
  </si>
  <si>
    <t>工资</t>
    <phoneticPr fontId="1" type="noConversion"/>
  </si>
  <si>
    <t>实收</t>
    <phoneticPr fontId="1" type="noConversion"/>
  </si>
  <si>
    <t>实扣</t>
    <phoneticPr fontId="1" type="noConversion"/>
  </si>
  <si>
    <t>误差</t>
    <phoneticPr fontId="1" type="noConversion"/>
  </si>
  <si>
    <t>总误差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</si>
</sst>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8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F17" sqref="F17"/>
    </sheetView>
  </sheetViews>
  <sheetFormatPr defaultRowHeight="14.25" x14ac:dyDescent="0.2"/>
  <cols>
    <col min="1" max="23" width="10.625" customWidth="1"/>
  </cols>
  <sheetData>
    <row r="1" spans="1:10" x14ac:dyDescent="0.2">
      <c r="G1">
        <v>2026</v>
      </c>
    </row>
    <row r="2" spans="1:10" x14ac:dyDescent="0.2">
      <c r="B2">
        <v>8</v>
      </c>
      <c r="C2">
        <v>9</v>
      </c>
      <c r="D2">
        <v>10</v>
      </c>
      <c r="E2">
        <v>11</v>
      </c>
      <c r="F2">
        <v>12</v>
      </c>
      <c r="G2">
        <v>1</v>
      </c>
      <c r="H2">
        <v>2</v>
      </c>
      <c r="I2">
        <v>3</v>
      </c>
      <c r="J2">
        <v>4</v>
      </c>
    </row>
    <row r="3" spans="1:10" x14ac:dyDescent="0.2">
      <c r="A3" t="s">
        <v>0</v>
      </c>
      <c r="B3">
        <v>299</v>
      </c>
      <c r="C3">
        <v>299</v>
      </c>
      <c r="D3">
        <v>299</v>
      </c>
      <c r="E3">
        <v>299</v>
      </c>
      <c r="F3">
        <v>299</v>
      </c>
      <c r="G3">
        <v>299</v>
      </c>
      <c r="H3">
        <v>299</v>
      </c>
      <c r="I3">
        <v>299</v>
      </c>
      <c r="J3">
        <v>299</v>
      </c>
    </row>
    <row r="4" spans="1:10" x14ac:dyDescent="0.2">
      <c r="A4" t="s">
        <v>1</v>
      </c>
      <c r="B4">
        <f>384.96+13.92</f>
        <v>398.88</v>
      </c>
      <c r="C4">
        <v>398.88</v>
      </c>
      <c r="D4">
        <v>398.88</v>
      </c>
      <c r="E4">
        <v>398.88</v>
      </c>
      <c r="F4">
        <v>398.88</v>
      </c>
      <c r="G4">
        <v>398.88</v>
      </c>
      <c r="H4">
        <v>398.88</v>
      </c>
      <c r="I4">
        <v>398.88</v>
      </c>
      <c r="J4">
        <v>398.88</v>
      </c>
    </row>
    <row r="5" spans="1:10" x14ac:dyDescent="0.2">
      <c r="A5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t="s">
        <v>3</v>
      </c>
      <c r="B6">
        <f>24.06+0.87</f>
        <v>24.93</v>
      </c>
      <c r="C6">
        <v>24.93</v>
      </c>
      <c r="D6">
        <v>24.93</v>
      </c>
      <c r="E6">
        <v>24.93</v>
      </c>
      <c r="F6">
        <v>24.93</v>
      </c>
      <c r="G6">
        <v>24.93</v>
      </c>
      <c r="H6">
        <v>24.93</v>
      </c>
      <c r="I6">
        <v>24.93</v>
      </c>
      <c r="J6">
        <v>24.93</v>
      </c>
    </row>
    <row r="7" spans="1:10" x14ac:dyDescent="0.2">
      <c r="A7" t="s">
        <v>4</v>
      </c>
      <c r="B7">
        <v>99.72</v>
      </c>
      <c r="C7">
        <v>99.72</v>
      </c>
      <c r="D7">
        <v>99.72</v>
      </c>
      <c r="E7">
        <v>99.72</v>
      </c>
      <c r="F7">
        <v>99.72</v>
      </c>
      <c r="G7">
        <v>99.72</v>
      </c>
      <c r="H7">
        <v>99.72</v>
      </c>
      <c r="I7">
        <v>99.72</v>
      </c>
      <c r="J7">
        <v>99.72</v>
      </c>
    </row>
    <row r="8" spans="1:10" x14ac:dyDescent="0.2">
      <c r="A8" t="s">
        <v>5</v>
      </c>
      <c r="B8">
        <v>159.26</v>
      </c>
      <c r="C8">
        <v>241.78</v>
      </c>
      <c r="D8">
        <v>350.32</v>
      </c>
      <c r="E8">
        <v>462.92</v>
      </c>
      <c r="F8">
        <v>1157.75</v>
      </c>
      <c r="G8">
        <v>356.32</v>
      </c>
      <c r="H8">
        <v>356.33</v>
      </c>
      <c r="I8">
        <v>356.32</v>
      </c>
      <c r="J8">
        <v>1162.02</v>
      </c>
    </row>
    <row r="9" spans="1:10" x14ac:dyDescent="0.2">
      <c r="B9">
        <f>SUM(B3:B8)</f>
        <v>981.79</v>
      </c>
      <c r="C9">
        <f t="shared" ref="C9:D9" si="0">SUM(C3:C8)</f>
        <v>1064.31</v>
      </c>
      <c r="D9">
        <f t="shared" si="0"/>
        <v>1172.8499999999999</v>
      </c>
      <c r="E9">
        <f>SUM(E3:E8)</f>
        <v>1285.45</v>
      </c>
      <c r="F9">
        <f>SUM(F3:F8)</f>
        <v>1980.28</v>
      </c>
      <c r="G9">
        <f>SUM(G3:G8)</f>
        <v>1178.8499999999999</v>
      </c>
      <c r="H9">
        <f>SUM(H3:H8)</f>
        <v>1178.8599999999999</v>
      </c>
      <c r="I9">
        <f>SUM(I3:I8)</f>
        <v>1178.8499999999999</v>
      </c>
      <c r="J9">
        <f>SUM(J3:J8)</f>
        <v>1984.55</v>
      </c>
    </row>
    <row r="11" spans="1:10" x14ac:dyDescent="0.2">
      <c r="A11" t="s">
        <v>6</v>
      </c>
      <c r="B11">
        <v>11612.9</v>
      </c>
      <c r="C11">
        <v>14400</v>
      </c>
      <c r="D11">
        <v>18000</v>
      </c>
      <c r="E11">
        <v>18120</v>
      </c>
      <c r="F11">
        <v>18000</v>
      </c>
      <c r="G11">
        <v>18000</v>
      </c>
      <c r="H11">
        <v>18000</v>
      </c>
      <c r="I11">
        <v>18000</v>
      </c>
      <c r="J11">
        <v>18000</v>
      </c>
    </row>
    <row r="12" spans="1:10" x14ac:dyDescent="0.2">
      <c r="A12" t="s">
        <v>7</v>
      </c>
      <c r="B12">
        <v>10649.38</v>
      </c>
      <c r="C12">
        <v>13317.42</v>
      </c>
      <c r="D12">
        <v>16134.57</v>
      </c>
      <c r="E12">
        <v>16834.55</v>
      </c>
      <c r="F12">
        <v>16019.72</v>
      </c>
      <c r="G12">
        <v>16821.150000000001</v>
      </c>
      <c r="H12">
        <v>16821.14</v>
      </c>
      <c r="I12">
        <v>16821.14</v>
      </c>
      <c r="J12">
        <v>16015.45</v>
      </c>
    </row>
    <row r="13" spans="1:10" x14ac:dyDescent="0.2">
      <c r="A13" t="s">
        <v>8</v>
      </c>
      <c r="B13">
        <f t="shared" ref="B13:H13" si="1">B12-B11</f>
        <v>-963.52000000000044</v>
      </c>
      <c r="C13">
        <f t="shared" si="1"/>
        <v>-1082.58</v>
      </c>
      <c r="D13">
        <f t="shared" si="1"/>
        <v>-1865.4300000000003</v>
      </c>
      <c r="E13">
        <f t="shared" si="1"/>
        <v>-1285.4500000000007</v>
      </c>
      <c r="F13">
        <f t="shared" si="1"/>
        <v>-1980.2800000000007</v>
      </c>
      <c r="G13">
        <f t="shared" si="1"/>
        <v>-1178.8499999999985</v>
      </c>
      <c r="H13">
        <f t="shared" si="1"/>
        <v>-1178.8600000000006</v>
      </c>
      <c r="I13">
        <f t="shared" ref="I13:J13" si="2">I12-I11</f>
        <v>-1178.8600000000006</v>
      </c>
      <c r="J13">
        <f t="shared" si="2"/>
        <v>-1984.5499999999993</v>
      </c>
    </row>
    <row r="14" spans="1:10" ht="14.25" customHeight="1" x14ac:dyDescent="0.2">
      <c r="A14" t="s">
        <v>9</v>
      </c>
      <c r="B14">
        <f t="shared" ref="B14:H14" si="3">B13+B9</f>
        <v>18.269999999999527</v>
      </c>
      <c r="C14">
        <f t="shared" si="3"/>
        <v>-18.269999999999982</v>
      </c>
      <c r="D14">
        <f t="shared" si="3"/>
        <v>-692.58000000000038</v>
      </c>
      <c r="E14">
        <f>E13+E9</f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ref="I14:J14" si="4">I13+I9</f>
        <v>-1.0000000000673026E-2</v>
      </c>
      <c r="J14">
        <f t="shared" si="4"/>
        <v>0</v>
      </c>
    </row>
    <row r="16" spans="1:10" x14ac:dyDescent="0.2">
      <c r="A16" s="2" t="s">
        <v>10</v>
      </c>
      <c r="B16" s="1">
        <f>SUM(14:14)</f>
        <v>-692.59000000000151</v>
      </c>
      <c r="C16" s="1"/>
    </row>
    <row r="17" spans="1:3" x14ac:dyDescent="0.2">
      <c r="A17" s="2"/>
      <c r="B17" s="1"/>
      <c r="C17" s="1"/>
    </row>
    <row r="18" spans="1:3" x14ac:dyDescent="0.2">
      <c r="A18" s="2"/>
      <c r="B18" s="1"/>
      <c r="C18" s="1"/>
    </row>
  </sheetData>
  <mergeCells count="2">
    <mergeCell ref="B16:C18"/>
    <mergeCell ref="A16:A1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onedrive</cp:lastModifiedBy>
  <cp:revision/>
  <dcterms:created xsi:type="dcterms:W3CDTF">2015-06-05T18:19:34Z</dcterms:created>
  <dcterms:modified xsi:type="dcterms:W3CDTF">2026-05-21T07:32:21Z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2025-09-16T07:42:40Z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8c56a184-5be5-4df0-8278-3742bf664ec0</vt:lpwstr>
  </property>
  <property fmtid="{D5CDD505-2E9C-101B-9397-08002B2CF9AE}" pid="7" name="MSIP_Label_defa4170-0d19-0005-0004-bc88714345d2_ActionId">
    <vt:lpwstr>17f1dfb5-e9c2-407c-8294-add40af27cd3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